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chrisdavisj/Downloads/results_filtered/"/>
    </mc:Choice>
  </mc:AlternateContent>
  <xr:revisionPtr revIDLastSave="0" documentId="13_ncr:1_{0DFFF3B9-BC96-CF4A-B56A-B19E7640342A}" xr6:coauthVersionLast="47" xr6:coauthVersionMax="47" xr10:uidLastSave="{00000000-0000-0000-0000-000000000000}"/>
  <bookViews>
    <workbookView xWindow="0" yWindow="680" windowWidth="29400" windowHeight="17160" xr2:uid="{00000000-000D-0000-FFFF-FFFF00000000}"/>
  </bookViews>
  <sheets>
    <sheet name="All" sheetId="1" r:id="rId1"/>
    <sheet name="Filter" sheetId="4" r:id="rId2"/>
    <sheet name="By-CQ-Level" sheetId="2" r:id="rId3"/>
    <sheet name="Overal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/>
  <c r="Q2" i="3"/>
  <c r="O2" i="3"/>
  <c r="L2" i="3"/>
  <c r="M2" i="3"/>
  <c r="N2" i="3"/>
  <c r="K2" i="3"/>
  <c r="C2" i="3"/>
  <c r="D2" i="3"/>
  <c r="E2" i="3"/>
  <c r="F2" i="3"/>
  <c r="G2" i="3"/>
  <c r="H2" i="3"/>
  <c r="I2" i="3"/>
  <c r="J2" i="3"/>
  <c r="B2" i="3"/>
  <c r="P2" i="2"/>
  <c r="Q2" i="2"/>
  <c r="P3" i="2"/>
  <c r="Q3" i="2"/>
  <c r="P4" i="2"/>
  <c r="Q4" i="2"/>
  <c r="O3" i="2"/>
  <c r="O4" i="2"/>
  <c r="O2" i="2"/>
  <c r="L2" i="2"/>
  <c r="M2" i="2"/>
  <c r="N2" i="2"/>
  <c r="L3" i="2"/>
  <c r="M3" i="2"/>
  <c r="N3" i="2"/>
  <c r="L4" i="2"/>
  <c r="M4" i="2"/>
  <c r="N4" i="2"/>
  <c r="K3" i="2"/>
  <c r="K4" i="2"/>
  <c r="K2" i="2"/>
  <c r="D2" i="2"/>
  <c r="E2" i="2"/>
  <c r="F2" i="2"/>
  <c r="G2" i="2"/>
  <c r="H2" i="2"/>
  <c r="I2" i="2"/>
  <c r="J2" i="2"/>
  <c r="D3" i="2"/>
  <c r="E3" i="2"/>
  <c r="F3" i="2"/>
  <c r="G3" i="2"/>
  <c r="H3" i="2"/>
  <c r="I3" i="2"/>
  <c r="J3" i="2"/>
  <c r="D4" i="2"/>
  <c r="E4" i="2"/>
  <c r="F4" i="2"/>
  <c r="G4" i="2"/>
  <c r="H4" i="2"/>
  <c r="I4" i="2"/>
  <c r="J4" i="2"/>
  <c r="C3" i="2"/>
  <c r="C4" i="2"/>
  <c r="C2" i="2"/>
  <c r="B3" i="2"/>
  <c r="B4" i="2"/>
  <c r="B2" i="2"/>
  <c r="B3" i="4"/>
  <c r="B4" i="4"/>
  <c r="B2" i="4"/>
  <c r="D3" i="4"/>
  <c r="D4" i="4"/>
  <c r="D2" i="4"/>
  <c r="C3" i="4"/>
  <c r="C4" i="4"/>
  <c r="C2" i="4"/>
  <c r="A2" i="4" a="1"/>
  <c r="A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<sst xmlns="http://schemas.openxmlformats.org/spreadsheetml/2006/main" count="100" uniqueCount="36">
  <si>
    <t>CQ</t>
  </si>
  <si>
    <t>Prompt</t>
  </si>
  <si>
    <t>Claude_Result</t>
  </si>
  <si>
    <t>Claude_Raw</t>
  </si>
  <si>
    <t>sparql_query</t>
  </si>
  <si>
    <t>eval_json</t>
  </si>
  <si>
    <t>syntax_ok</t>
  </si>
  <si>
    <t>satisfiable</t>
  </si>
  <si>
    <t>deterministic</t>
  </si>
  <si>
    <t>rows</t>
  </si>
  <si>
    <t>vars</t>
  </si>
  <si>
    <t>latency_p50_ms</t>
  </si>
  <si>
    <t>latency_p95_ms</t>
  </si>
  <si>
    <t>latency_mean_ms</t>
  </si>
  <si>
    <t>lexical_query_overlap</t>
  </si>
  <si>
    <t>semantic_similarity_to_CQ</t>
  </si>
  <si>
    <t>semantic_soft_coverage_to_CQ</t>
  </si>
  <si>
    <t>tuple_cohesion</t>
  </si>
  <si>
    <t>always_unbound_vars</t>
  </si>
  <si>
    <t>variables</t>
  </si>
  <si>
    <t>difficulty</t>
  </si>
  <si>
    <t>determinism_score</t>
  </si>
  <si>
    <t>satisfiability_binding_score</t>
  </si>
  <si>
    <t>h1_overall</t>
  </si>
  <si>
    <t>semantic_diversity_score</t>
  </si>
  <si>
    <t>simple</t>
  </si>
  <si>
    <t>moderate</t>
  </si>
  <si>
    <t>complex</t>
  </si>
  <si>
    <t>syntax_ok_rate</t>
  </si>
  <si>
    <t>satisfiable_rate</t>
  </si>
  <si>
    <t>deterministic_rate</t>
  </si>
  <si>
    <t>ALL</t>
  </si>
  <si>
    <t>Complexity</t>
  </si>
  <si>
    <t>Total</t>
  </si>
  <si>
    <t>Valid Syntax</t>
  </si>
  <si>
    <t>Valid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</si>
</sst>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workbookViewId="0">
      <selection activeCell="E29" sqref="E29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U2" t="s">
        <v>25</v>
      </c>
    </row>
    <row r="3" spans="1:25" x14ac:dyDescent="0.2">
      <c r="U3" t="s">
        <v>25</v>
      </c>
    </row>
    <row r="4" spans="1:25" x14ac:dyDescent="0.2">
      <c r="U4" t="s">
        <v>25</v>
      </c>
    </row>
    <row r="5" spans="1:25" x14ac:dyDescent="0.2">
      <c r="U5" t="s">
        <v>25</v>
      </c>
    </row>
    <row r="6" spans="1:25" x14ac:dyDescent="0.2">
      <c r="U6" t="s">
        <v>25</v>
      </c>
    </row>
    <row r="7" spans="1:25" x14ac:dyDescent="0.2">
      <c r="U7" t="s">
        <v>25</v>
      </c>
    </row>
    <row r="8" spans="1:25" x14ac:dyDescent="0.2">
      <c r="U8" t="s">
        <v>25</v>
      </c>
    </row>
    <row r="9" spans="1:25" x14ac:dyDescent="0.2">
      <c r="U9" t="s">
        <v>25</v>
      </c>
    </row>
    <row r="10" spans="1:25" x14ac:dyDescent="0.2">
      <c r="U10" t="s">
        <v>25</v>
      </c>
    </row>
    <row r="11" spans="1:25" x14ac:dyDescent="0.2">
      <c r="U11" t="s">
        <v>25</v>
      </c>
    </row>
    <row r="12" spans="1:25" x14ac:dyDescent="0.2">
      <c r="U12" t="s">
        <v>25</v>
      </c>
    </row>
    <row r="13" spans="1:25" x14ac:dyDescent="0.2">
      <c r="U13" t="s">
        <v>25</v>
      </c>
    </row>
    <row r="14" spans="1:25" x14ac:dyDescent="0.2">
      <c r="U14" t="s">
        <v>26</v>
      </c>
    </row>
    <row r="15" spans="1:25" x14ac:dyDescent="0.2">
      <c r="U15" t="s">
        <v>26</v>
      </c>
    </row>
    <row r="16" spans="1:25" x14ac:dyDescent="0.2">
      <c r="U16" t="s">
        <v>26</v>
      </c>
    </row>
    <row r="17" spans="21:21" x14ac:dyDescent="0.2">
      <c r="U17" t="s">
        <v>26</v>
      </c>
    </row>
    <row r="18" spans="21:21" x14ac:dyDescent="0.2">
      <c r="U18" t="s">
        <v>26</v>
      </c>
    </row>
    <row r="19" spans="21:21" x14ac:dyDescent="0.2">
      <c r="U19" t="s">
        <v>26</v>
      </c>
    </row>
    <row r="20" spans="21:21" x14ac:dyDescent="0.2">
      <c r="U20" t="s">
        <v>26</v>
      </c>
    </row>
    <row r="21" spans="21:21" x14ac:dyDescent="0.2">
      <c r="U21" t="s">
        <v>26</v>
      </c>
    </row>
    <row r="22" spans="21:21" x14ac:dyDescent="0.2">
      <c r="U22" t="s">
        <v>26</v>
      </c>
    </row>
    <row r="23" spans="21:21" x14ac:dyDescent="0.2">
      <c r="U23" t="s">
        <v>26</v>
      </c>
    </row>
    <row r="24" spans="21:21" x14ac:dyDescent="0.2">
      <c r="U24" t="s">
        <v>26</v>
      </c>
    </row>
    <row r="25" spans="21:21" x14ac:dyDescent="0.2">
      <c r="U25" t="s">
        <v>27</v>
      </c>
    </row>
    <row r="26" spans="21:21" x14ac:dyDescent="0.2">
      <c r="U26" t="s">
        <v>27</v>
      </c>
    </row>
    <row r="27" spans="21:21" x14ac:dyDescent="0.2">
      <c r="U27" t="s">
        <v>27</v>
      </c>
    </row>
    <row r="28" spans="21:21" x14ac:dyDescent="0.2">
      <c r="U28" t="s">
        <v>27</v>
      </c>
    </row>
    <row r="29" spans="21:21" x14ac:dyDescent="0.2">
      <c r="U29" t="s">
        <v>27</v>
      </c>
    </row>
    <row r="30" spans="21:21" x14ac:dyDescent="0.2">
      <c r="U30" t="s">
        <v>27</v>
      </c>
    </row>
    <row r="31" spans="21:21" x14ac:dyDescent="0.2">
      <c r="U31" t="s">
        <v>27</v>
      </c>
    </row>
    <row r="32" spans="21:21" x14ac:dyDescent="0.2">
      <c r="U32" t="s">
        <v>27</v>
      </c>
    </row>
    <row r="33" spans="21:21" x14ac:dyDescent="0.2">
      <c r="U33" t="s">
        <v>27</v>
      </c>
    </row>
    <row r="34" spans="21:21" x14ac:dyDescent="0.2">
      <c r="U3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2B88-ECF1-FC4A-B0D4-0CD9DE9D5C8A}">
  <dimension ref="A1:D4"/>
  <sheetViews>
    <sheetView workbookViewId="0">
      <selection activeCell="B2" sqref="B2"/>
    </sheetView>
  </sheetViews>
  <sheetFormatPr baseColWidth="10" defaultRowHeight="15" x14ac:dyDescent="0.2"/>
  <sheetData>
    <row r="1" spans="1:4" x14ac:dyDescent="0.2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">
      <c r="A2" t="str" cm="1">
        <f t="array" ref="A2:A4">_xlfn.UNIQUE(All!U2:U34)</f>
        <v>simple</v>
      </c>
      <c r="B2">
        <f>COUNTIF(All!U2:U34,Filter!A2)</f>
        <v>12</v>
      </c>
      <c r="C2">
        <f>COUNTIFS(All!$G:$G, TRUE, All!$U:$U, A2)</f>
        <v>0</v>
      </c>
      <c r="D2">
        <f>COUNTIFS(All!$G:$G, TRUE,
          All!$H:$H, TRUE,
          All!$I:$I, TRUE,
          All!$U:$U, A2)</f>
        <v>0</v>
      </c>
    </row>
    <row r="3" spans="1:4" x14ac:dyDescent="0.2">
      <c r="A3" t="str">
        <v>moderate</v>
      </c>
      <c r="B3">
        <f>COUNTIF(All!U3:U35,Filter!A3)</f>
        <v>11</v>
      </c>
      <c r="C3">
        <f>COUNTIFS(All!$G:$G, TRUE, All!$U:$U, A3)</f>
        <v>0</v>
      </c>
      <c r="D3">
        <f>COUNTIFS(All!$G:$G, TRUE,
          All!$H:$H, TRUE,
          All!$I:$I, TRUE,
          All!$U:$U, A3)</f>
        <v>0</v>
      </c>
    </row>
    <row r="4" spans="1:4" x14ac:dyDescent="0.2">
      <c r="A4" t="str">
        <v>complex</v>
      </c>
      <c r="B4">
        <f>COUNTIF(All!U4:U36,Filter!A4)</f>
        <v>10</v>
      </c>
      <c r="C4">
        <f>COUNTIFS(All!$G:$G, TRUE, All!$U:$U, A4)</f>
        <v>0</v>
      </c>
      <c r="D4">
        <f>COUNTIFS(All!$G:$G, TRUE,
          All!$H:$H, TRUE,
          All!$I:$I, TRUE,
          All!$U:$U, A4)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topLeftCell="E1" workbookViewId="0">
      <selection activeCell="I5" sqref="I5"/>
    </sheetView>
  </sheetViews>
  <sheetFormatPr baseColWidth="10" defaultColWidth="8.83203125" defaultRowHeight="15" x14ac:dyDescent="0.2"/>
  <cols>
    <col min="1" max="1" width="8.5" bestFit="1" customWidth="1"/>
    <col min="2" max="2" width="8.6640625" bestFit="1" customWidth="1"/>
    <col min="3" max="3" width="4.6640625" bestFit="1" customWidth="1"/>
    <col min="4" max="5" width="13.6640625" bestFit="1" customWidth="1"/>
    <col min="6" max="6" width="15" bestFit="1" customWidth="1"/>
    <col min="7" max="7" width="18.33203125" bestFit="1" customWidth="1"/>
    <col min="8" max="8" width="22.1640625" bestFit="1" customWidth="1"/>
    <col min="9" max="9" width="25.6640625" bestFit="1" customWidth="1"/>
    <col min="10" max="10" width="13.1640625" bestFit="1" customWidth="1"/>
    <col min="11" max="11" width="16.33203125" bestFit="1" customWidth="1"/>
    <col min="12" max="12" width="22.33203125" bestFit="1" customWidth="1"/>
    <col min="13" max="13" width="9.33203125" bestFit="1" customWidth="1"/>
    <col min="14" max="14" width="20.83203125" bestFit="1" customWidth="1"/>
    <col min="15" max="15" width="12.6640625" bestFit="1" customWidth="1"/>
    <col min="16" max="16" width="12.83203125" bestFit="1" customWidth="1"/>
    <col min="17" max="17" width="15.6640625" bestFit="1" customWidth="1"/>
  </cols>
  <sheetData>
    <row r="1" spans="1:17" x14ac:dyDescent="0.2">
      <c r="A1" s="1" t="s">
        <v>20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28</v>
      </c>
      <c r="P1" s="1" t="s">
        <v>29</v>
      </c>
      <c r="Q1" s="1" t="s">
        <v>30</v>
      </c>
    </row>
    <row r="2" spans="1:17" x14ac:dyDescent="0.2">
      <c r="A2" t="s">
        <v>25</v>
      </c>
      <c r="B2" s="3" t="e">
        <f>AVERAGEIFS(All!$J:$J,
            All!$G:$G, TRUE,
            All!$H:$H, TRUE,
            All!$I:$I, TRUE,
            All!$U:$U, A2)</f>
        <v>#DIV/0!</v>
      </c>
      <c r="C2" s="3" t="e">
        <f>AVERAGEIFS(All!K:K,
            All!$G:$G, TRUE,
            All!$H:$H, TRUE,
            All!$I:$I, TRUE,
            All!$U:$U, $A2)</f>
        <v>#DIV/0!</v>
      </c>
      <c r="D2" s="3" t="e">
        <f>AVERAGEIFS(All!L:L,
            All!$G:$G, TRUE,
            All!$H:$H, TRUE,
            All!$I:$I, TRUE,
            All!$U:$U, $A2)</f>
        <v>#DIV/0!</v>
      </c>
      <c r="E2" s="3" t="e">
        <f>AVERAGEIFS(All!M:M,
            All!$G:$G, TRUE,
            All!$H:$H, TRUE,
            All!$I:$I, TRUE,
            All!$U:$U, $A2)</f>
        <v>#DIV/0!</v>
      </c>
      <c r="F2" s="3" t="e">
        <f>AVERAGEIFS(All!N:N,
            All!$G:$G, TRUE,
            All!$H:$H, TRUE,
            All!$I:$I, TRUE,
            All!$U:$U, $A2)</f>
        <v>#DIV/0!</v>
      </c>
      <c r="G2" s="3" t="e">
        <f>AVERAGEIFS(All!O:O,
            All!$G:$G, TRUE,
            All!$H:$H, TRUE,
            All!$I:$I, TRUE,
            All!$U:$U, $A2)</f>
        <v>#DIV/0!</v>
      </c>
      <c r="H2" s="3" t="e">
        <f>AVERAGEIFS(All!P:P,
            All!$G:$G, TRUE,
            All!$H:$H, TRUE,
            All!$I:$I, TRUE,
            All!$U:$U, $A2)</f>
        <v>#DIV/0!</v>
      </c>
      <c r="I2" s="3" t="e">
        <f>AVERAGEIFS(All!Q:Q,
            All!$G:$G, TRUE,
            All!$H:$H, TRUE,
            All!$I:$I, TRUE,
            All!$U:$U, $A2)</f>
        <v>#DIV/0!</v>
      </c>
      <c r="J2" s="3" t="e">
        <f>AVERAGEIFS(All!R:R,
            All!$G:$G, TRUE,
            All!$H:$H, TRUE,
            All!$I:$I, TRUE,
            All!$U:$U, $A2)</f>
        <v>#DIV/0!</v>
      </c>
      <c r="K2" s="3" t="e">
        <f>AVERAGEIFS(All!V:V,
            All!$G:$G, TRUE,
            All!$H:$H, TRUE,
            All!$I:$I, TRUE,
            All!$U:$U, $A2)</f>
        <v>#DIV/0!</v>
      </c>
      <c r="L2" s="3" t="e">
        <f>AVERAGEIFS(All!W:W,
            All!$G:$G, TRUE,
            All!$H:$H, TRUE,
            All!$I:$I, TRUE,
            All!$U:$U, $A2)</f>
        <v>#DIV/0!</v>
      </c>
      <c r="M2" s="3" t="e">
        <f>AVERAGEIFS(All!X:X,
            All!$G:$G, TRUE,
            All!$H:$H, TRUE,
            All!$I:$I, TRUE,
            All!$U:$U, $A2)</f>
        <v>#DIV/0!</v>
      </c>
      <c r="N2" s="3" t="e">
        <f>AVERAGEIFS(All!Y:Y,
            All!$G:$G, TRUE,
            All!$H:$H, TRUE,
            All!$I:$I, TRUE,
            All!$U:$U, $A2)</f>
        <v>#DIV/0!</v>
      </c>
      <c r="O2" s="3">
        <f>COUNTIFS(All!G:G,TRUE,All!$U:$U,$A2)/COUNTIF(All!$U2:$U34,Filter!$A2)</f>
        <v>0</v>
      </c>
      <c r="P2" s="3">
        <f>COUNTIFS(All!H:H,TRUE,All!$U:$U,$A2)/COUNTIF(All!$U2:$U34,Filter!$A2)</f>
        <v>0</v>
      </c>
      <c r="Q2" s="3">
        <f>COUNTIFS(All!I:I,TRUE,All!$U:$U,$A2)/COUNTIF(All!$U2:$U34,Filter!$A2)</f>
        <v>0</v>
      </c>
    </row>
    <row r="3" spans="1:17" x14ac:dyDescent="0.2">
      <c r="A3" t="s">
        <v>26</v>
      </c>
      <c r="B3" s="3" t="e">
        <f>AVERAGEIFS(All!$J:$J,
            All!$G:$G, TRUE,
            All!$H:$H, TRUE,
            All!$I:$I, TRUE,
            All!$U:$U, A3)</f>
        <v>#DIV/0!</v>
      </c>
      <c r="C3" s="3" t="e">
        <f>AVERAGEIFS(All!K:K,
            All!$G:$G, TRUE,
            All!$H:$H, TRUE,
            All!$I:$I, TRUE,
            All!$U:$U, $A3)</f>
        <v>#DIV/0!</v>
      </c>
      <c r="D3" s="3" t="e">
        <f>AVERAGEIFS(All!L:L,
            All!$G:$G, TRUE,
            All!$H:$H, TRUE,
            All!$I:$I, TRUE,
            All!$U:$U, $A3)</f>
        <v>#DIV/0!</v>
      </c>
      <c r="E3" s="3" t="e">
        <f>AVERAGEIFS(All!M:M,
            All!$G:$G, TRUE,
            All!$H:$H, TRUE,
            All!$I:$I, TRUE,
            All!$U:$U, $A3)</f>
        <v>#DIV/0!</v>
      </c>
      <c r="F3" s="3" t="e">
        <f>AVERAGEIFS(All!N:N,
            All!$G:$G, TRUE,
            All!$H:$H, TRUE,
            All!$I:$I, TRUE,
            All!$U:$U, $A3)</f>
        <v>#DIV/0!</v>
      </c>
      <c r="G3" s="3" t="e">
        <f>AVERAGEIFS(All!O:O,
            All!$G:$G, TRUE,
            All!$H:$H, TRUE,
            All!$I:$I, TRUE,
            All!$U:$U, $A3)</f>
        <v>#DIV/0!</v>
      </c>
      <c r="H3" s="3" t="e">
        <f>AVERAGEIFS(All!P:P,
            All!$G:$G, TRUE,
            All!$H:$H, TRUE,
            All!$I:$I, TRUE,
            All!$U:$U, $A3)</f>
        <v>#DIV/0!</v>
      </c>
      <c r="I3" s="3" t="e">
        <f>AVERAGEIFS(All!Q:Q,
            All!$G:$G, TRUE,
            All!$H:$H, TRUE,
            All!$I:$I, TRUE,
            All!$U:$U, $A3)</f>
        <v>#DIV/0!</v>
      </c>
      <c r="J3" s="3" t="e">
        <f>AVERAGEIFS(All!R:R,
            All!$G:$G, TRUE,
            All!$H:$H, TRUE,
            All!$I:$I, TRUE,
            All!$U:$U, $A3)</f>
        <v>#DIV/0!</v>
      </c>
      <c r="K3" s="3" t="e">
        <f>AVERAGEIFS(All!V:V,
            All!$G:$G, TRUE,
            All!$H:$H, TRUE,
            All!$I:$I, TRUE,
            All!$U:$U, $A3)</f>
        <v>#DIV/0!</v>
      </c>
      <c r="L3" s="3" t="e">
        <f>AVERAGEIFS(All!W:W,
            All!$G:$G, TRUE,
            All!$H:$H, TRUE,
            All!$I:$I, TRUE,
            All!$U:$U, $A3)</f>
        <v>#DIV/0!</v>
      </c>
      <c r="M3" s="3" t="e">
        <f>AVERAGEIFS(All!X:X,
            All!$G:$G, TRUE,
            All!$H:$H, TRUE,
            All!$I:$I, TRUE,
            All!$U:$U, $A3)</f>
        <v>#DIV/0!</v>
      </c>
      <c r="N3" s="3" t="e">
        <f>AVERAGEIFS(All!Y:Y,
            All!$G:$G, TRUE,
            All!$H:$H, TRUE,
            All!$I:$I, TRUE,
            All!$U:$U, $A3)</f>
        <v>#DIV/0!</v>
      </c>
      <c r="O3" s="3">
        <f>COUNTIFS(All!G:G,TRUE,All!$U:$U,$A3)/COUNTIF(All!$U3:$U35,Filter!$A3)</f>
        <v>0</v>
      </c>
      <c r="P3" s="3">
        <f>COUNTIFS(All!H:H,TRUE,All!$U:$U,$A3)/COUNTIF(All!$U3:$U35,Filter!$A3)</f>
        <v>0</v>
      </c>
      <c r="Q3" s="3">
        <f>COUNTIFS(All!I:I,TRUE,All!$U:$U,$A3)/COUNTIF(All!$U3:$U35,Filter!$A3)</f>
        <v>0</v>
      </c>
    </row>
    <row r="4" spans="1:17" x14ac:dyDescent="0.2">
      <c r="A4" t="s">
        <v>27</v>
      </c>
      <c r="B4" s="3" t="e">
        <f>AVERAGEIFS(All!$J:$J,
            All!$G:$G, TRUE,
            All!$H:$H, TRUE,
            All!$I:$I, TRUE,
            All!$U:$U, A4)</f>
        <v>#DIV/0!</v>
      </c>
      <c r="C4" s="3" t="e">
        <f>AVERAGEIFS(All!K:K,
            All!$G:$G, TRUE,
            All!$H:$H, TRUE,
            All!$I:$I, TRUE,
            All!$U:$U, $A4)</f>
        <v>#DIV/0!</v>
      </c>
      <c r="D4" s="3" t="e">
        <f>AVERAGEIFS(All!L:L,
            All!$G:$G, TRUE,
            All!$H:$H, TRUE,
            All!$I:$I, TRUE,
            All!$U:$U, $A4)</f>
        <v>#DIV/0!</v>
      </c>
      <c r="E4" s="3" t="e">
        <f>AVERAGEIFS(All!M:M,
            All!$G:$G, TRUE,
            All!$H:$H, TRUE,
            All!$I:$I, TRUE,
            All!$U:$U, $A4)</f>
        <v>#DIV/0!</v>
      </c>
      <c r="F4" s="3" t="e">
        <f>AVERAGEIFS(All!N:N,
            All!$G:$G, TRUE,
            All!$H:$H, TRUE,
            All!$I:$I, TRUE,
            All!$U:$U, $A4)</f>
        <v>#DIV/0!</v>
      </c>
      <c r="G4" s="3" t="e">
        <f>AVERAGEIFS(All!O:O,
            All!$G:$G, TRUE,
            All!$H:$H, TRUE,
            All!$I:$I, TRUE,
            All!$U:$U, $A4)</f>
        <v>#DIV/0!</v>
      </c>
      <c r="H4" s="3" t="e">
        <f>AVERAGEIFS(All!P:P,
            All!$G:$G, TRUE,
            All!$H:$H, TRUE,
            All!$I:$I, TRUE,
            All!$U:$U, $A4)</f>
        <v>#DIV/0!</v>
      </c>
      <c r="I4" s="3" t="e">
        <f>AVERAGEIFS(All!Q:Q,
            All!$G:$G, TRUE,
            All!$H:$H, TRUE,
            All!$I:$I, TRUE,
            All!$U:$U, $A4)</f>
        <v>#DIV/0!</v>
      </c>
      <c r="J4" s="3" t="e">
        <f>AVERAGEIFS(All!R:R,
            All!$G:$G, TRUE,
            All!$H:$H, TRUE,
            All!$I:$I, TRUE,
            All!$U:$U, $A4)</f>
        <v>#DIV/0!</v>
      </c>
      <c r="K4" s="3" t="e">
        <f>AVERAGEIFS(All!V:V,
            All!$G:$G, TRUE,
            All!$H:$H, TRUE,
            All!$I:$I, TRUE,
            All!$U:$U, $A4)</f>
        <v>#DIV/0!</v>
      </c>
      <c r="L4" s="3" t="e">
        <f>AVERAGEIFS(All!W:W,
            All!$G:$G, TRUE,
            All!$H:$H, TRUE,
            All!$I:$I, TRUE,
            All!$U:$U, $A4)</f>
        <v>#DIV/0!</v>
      </c>
      <c r="M4" s="3" t="e">
        <f>AVERAGEIFS(All!X:X,
            All!$G:$G, TRUE,
            All!$H:$H, TRUE,
            All!$I:$I, TRUE,
            All!$U:$U, $A4)</f>
        <v>#DIV/0!</v>
      </c>
      <c r="N4" s="3" t="e">
        <f>AVERAGEIFS(All!Y:Y,
            All!$G:$G, TRUE,
            All!$H:$H, TRUE,
            All!$I:$I, TRUE,
            All!$U:$U, $A4)</f>
        <v>#DIV/0!</v>
      </c>
      <c r="O4" s="3">
        <f>COUNTIFS(All!G:G,TRUE,All!$U:$U,$A4)/COUNTIF(All!$U4:$U36,Filter!$A4)</f>
        <v>0</v>
      </c>
      <c r="P4" s="3">
        <f>COUNTIFS(All!H:H,TRUE,All!$U:$U,$A4)/COUNTIF(All!$U4:$U36,Filter!$A4)</f>
        <v>0</v>
      </c>
      <c r="Q4" s="3">
        <f>COUNTIFS(All!I:I,TRUE,All!$U:$U,$A4)/COUNTIF(All!$U4:$U36,Filter!$A4)</f>
        <v>0</v>
      </c>
    </row>
  </sheetData>
  <sortState xmlns:xlrd2="http://schemas.microsoft.com/office/spreadsheetml/2017/richdata2" ref="A2:Q7">
    <sortCondition descending="1" ref="A1:A7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workbookViewId="0">
      <selection activeCell="P9" sqref="P9"/>
    </sheetView>
  </sheetViews>
  <sheetFormatPr baseColWidth="10" defaultColWidth="8.83203125" defaultRowHeight="15" x14ac:dyDescent="0.2"/>
  <cols>
    <col min="1" max="1" width="8" bestFit="1" customWidth="1"/>
    <col min="2" max="2" width="8.6640625" bestFit="1" customWidth="1"/>
    <col min="3" max="3" width="4.6640625" bestFit="1" customWidth="1"/>
    <col min="4" max="5" width="13.6640625" bestFit="1" customWidth="1"/>
    <col min="6" max="6" width="15" bestFit="1" customWidth="1"/>
    <col min="7" max="7" width="18.33203125" bestFit="1" customWidth="1"/>
    <col min="8" max="8" width="22.1640625" bestFit="1" customWidth="1"/>
    <col min="9" max="9" width="25.6640625" bestFit="1" customWidth="1"/>
    <col min="10" max="10" width="13.1640625" bestFit="1" customWidth="1"/>
    <col min="11" max="11" width="16.33203125" bestFit="1" customWidth="1"/>
    <col min="12" max="12" width="22.33203125" bestFit="1" customWidth="1"/>
    <col min="13" max="13" width="9.33203125" bestFit="1" customWidth="1"/>
    <col min="14" max="14" width="20.83203125" bestFit="1" customWidth="1"/>
    <col min="15" max="15" width="12.6640625" bestFit="1" customWidth="1"/>
    <col min="16" max="16" width="12.83203125" bestFit="1" customWidth="1"/>
    <col min="17" max="17" width="15.6640625" bestFit="1" customWidth="1"/>
  </cols>
  <sheetData>
    <row r="1" spans="1:17" x14ac:dyDescent="0.2">
      <c r="A1" s="4" t="s">
        <v>20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28</v>
      </c>
      <c r="P1" s="4" t="s">
        <v>29</v>
      </c>
      <c r="Q1" s="4" t="s">
        <v>30</v>
      </c>
    </row>
    <row r="2" spans="1:17" x14ac:dyDescent="0.2">
      <c r="A2" s="3" t="s">
        <v>31</v>
      </c>
      <c r="B2" s="3" t="e">
        <f>AVERAGEIFS(All!J:J,All!$G:$G, TRUE,All!$H:$H, TRUE,All!$I:$I, TRUE)</f>
        <v>#DIV/0!</v>
      </c>
      <c r="C2" s="3" t="e">
        <f>AVERAGEIFS(All!K:K,All!$G:$G, TRUE,All!$H:$H, TRUE,All!$I:$I, TRUE)</f>
        <v>#DIV/0!</v>
      </c>
      <c r="D2" s="3" t="e">
        <f>AVERAGEIFS(All!L:L,All!$G:$G, TRUE,All!$H:$H, TRUE,All!$I:$I, TRUE)</f>
        <v>#DIV/0!</v>
      </c>
      <c r="E2" s="3" t="e">
        <f>AVERAGEIFS(All!M:M,All!$G:$G, TRUE,All!$H:$H, TRUE,All!$I:$I, TRUE)</f>
        <v>#DIV/0!</v>
      </c>
      <c r="F2" s="3" t="e">
        <f>AVERAGEIFS(All!N:N,All!$G:$G, TRUE,All!$H:$H, TRUE,All!$I:$I, TRUE)</f>
        <v>#DIV/0!</v>
      </c>
      <c r="G2" s="3" t="e">
        <f>AVERAGEIFS(All!O:O,All!$G:$G, TRUE,All!$H:$H, TRUE,All!$I:$I, TRUE)</f>
        <v>#DIV/0!</v>
      </c>
      <c r="H2" s="3" t="e">
        <f>AVERAGEIFS(All!P:P,All!$G:$G, TRUE,All!$H:$H, TRUE,All!$I:$I, TRUE)</f>
        <v>#DIV/0!</v>
      </c>
      <c r="I2" s="3" t="e">
        <f>AVERAGEIFS(All!Q:Q,All!$G:$G, TRUE,All!$H:$H, TRUE,All!$I:$I, TRUE)</f>
        <v>#DIV/0!</v>
      </c>
      <c r="J2" s="3" t="e">
        <f>AVERAGEIFS(All!R:R,All!$G:$G, TRUE,All!$H:$H, TRUE,All!$I:$I, TRUE)</f>
        <v>#DIV/0!</v>
      </c>
      <c r="K2" s="3" t="e">
        <f>AVERAGEIFS(All!V:V,All!$G:$G, TRUE,All!$H:$H, TRUE,All!$I:$I, TRUE)</f>
        <v>#DIV/0!</v>
      </c>
      <c r="L2" s="3" t="e">
        <f>AVERAGEIFS(All!W:W,All!$G:$G, TRUE,All!$H:$H, TRUE,All!$I:$I, TRUE)</f>
        <v>#DIV/0!</v>
      </c>
      <c r="M2" s="3" t="e">
        <f>AVERAGEIFS(All!X:X,All!$G:$G, TRUE,All!$H:$H, TRUE,All!$I:$I, TRUE)</f>
        <v>#DIV/0!</v>
      </c>
      <c r="N2" s="3" t="e">
        <f>AVERAGEIFS(All!Y:Y,All!$G:$G, TRUE,All!$H:$H, TRUE,All!$I:$I, TRUE)</f>
        <v>#DIV/0!</v>
      </c>
      <c r="O2" s="3">
        <f>COUNTIFS(All!G:G,TRUE)/COUNTA(All!$U2:$U34)</f>
        <v>0</v>
      </c>
      <c r="P2" s="3">
        <f>COUNTIFS(All!H:H,TRUE)/COUNTA(All!$U2:$U34)</f>
        <v>0</v>
      </c>
      <c r="Q2" s="3">
        <f>COUNTIFS(All!I:I,TRUE)/COUNTA(All!$U2:$U34)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Filter</vt:lpstr>
      <vt:lpstr>By-CQ-Level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Jaldi, Chris Davis</cp:lastModifiedBy>
  <dcterms:created xsi:type="dcterms:W3CDTF">2025-11-25T21:05:31Z</dcterms:created>
  <dcterms:modified xsi:type="dcterms:W3CDTF">2025-11-27T19:34:15Z</dcterms:modified>
</cp:coreProperties>
</file>